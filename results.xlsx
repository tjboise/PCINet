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0"/>
  <workbookPr filterPrivacy="1" defaultThemeVersion="124226"/>
  <xr:revisionPtr revIDLastSave="0" documentId="13_ncr:1_{D2A6815F-A2AD-B944-ACEB-335D4179DDDB}" xr6:coauthVersionLast="47" xr6:coauthVersionMax="47" xr10:uidLastSave="{00000000-0000-0000-0000-000000000000}"/>
  <bookViews>
    <workbookView xWindow="0" yWindow="520" windowWidth="28800" windowHeight="16480" activeTab="6" xr2:uid="{00000000-000D-0000-FFFF-FFFF00000000}"/>
  </bookViews>
  <sheets>
    <sheet name="Sheet1" sheetId="1" r:id="rId1"/>
    <sheet name="Sheet2" sheetId="2" r:id="rId2"/>
    <sheet name="Sheet4" sheetId="4" r:id="rId3"/>
    <sheet name="Sheet6" sheetId="6" r:id="rId4"/>
    <sheet name="Sheet5" sheetId="5" r:id="rId5"/>
    <sheet name="Sheet3" sheetId="3" r:id="rId6"/>
    <sheet name="Sheet7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7" l="1"/>
  <c r="K4" i="7"/>
  <c r="K5" i="7"/>
  <c r="K6" i="7"/>
  <c r="K7" i="7"/>
  <c r="K8" i="7"/>
  <c r="K9" i="7"/>
  <c r="K10" i="7"/>
  <c r="K11" i="7"/>
  <c r="K12" i="7"/>
  <c r="K13" i="7"/>
  <c r="K2" i="7"/>
  <c r="N34" i="1"/>
  <c r="O34" i="1"/>
  <c r="P34" i="1"/>
  <c r="M34" i="1"/>
  <c r="I34" i="1"/>
  <c r="J34" i="1"/>
  <c r="K34" i="1"/>
  <c r="H34" i="1"/>
  <c r="N31" i="1"/>
  <c r="O31" i="1"/>
  <c r="P31" i="1"/>
  <c r="M31" i="1"/>
  <c r="I31" i="1"/>
  <c r="J31" i="1"/>
  <c r="K31" i="1"/>
  <c r="H31" i="1"/>
  <c r="N29" i="1"/>
  <c r="O29" i="1"/>
  <c r="P29" i="1"/>
  <c r="M29" i="1"/>
  <c r="I29" i="1"/>
  <c r="J29" i="1"/>
  <c r="K29" i="1"/>
  <c r="H29" i="1"/>
  <c r="N26" i="1"/>
  <c r="O26" i="1"/>
  <c r="P26" i="1"/>
  <c r="M26" i="1"/>
  <c r="I26" i="1"/>
  <c r="J26" i="1"/>
  <c r="K26" i="1"/>
  <c r="H26" i="1"/>
  <c r="N24" i="1"/>
  <c r="O24" i="1"/>
  <c r="P24" i="1"/>
  <c r="M24" i="1"/>
  <c r="I24" i="1"/>
  <c r="J24" i="1"/>
  <c r="K24" i="1"/>
  <c r="H24" i="1"/>
  <c r="N22" i="1"/>
  <c r="O22" i="1"/>
  <c r="P22" i="1"/>
  <c r="M22" i="1"/>
  <c r="I22" i="1"/>
  <c r="J22" i="1"/>
  <c r="K22" i="1"/>
  <c r="H22" i="1"/>
  <c r="N20" i="1"/>
  <c r="O20" i="1"/>
  <c r="P20" i="1"/>
  <c r="M20" i="1"/>
  <c r="I20" i="1"/>
  <c r="J20" i="1"/>
  <c r="K20" i="1"/>
  <c r="H20" i="1"/>
  <c r="N18" i="1"/>
  <c r="O18" i="1"/>
  <c r="P18" i="1"/>
  <c r="M18" i="1"/>
  <c r="I18" i="1"/>
  <c r="J18" i="1"/>
  <c r="K18" i="1"/>
  <c r="H18" i="1"/>
  <c r="N16" i="1"/>
  <c r="O16" i="1"/>
  <c r="P16" i="1"/>
  <c r="M16" i="1"/>
  <c r="I16" i="1"/>
  <c r="J16" i="1"/>
  <c r="K16" i="1"/>
  <c r="H16" i="1"/>
  <c r="N13" i="1"/>
  <c r="O13" i="1"/>
  <c r="P13" i="1"/>
  <c r="M13" i="1"/>
  <c r="I13" i="1"/>
  <c r="J13" i="1"/>
  <c r="K13" i="1"/>
  <c r="H13" i="1"/>
  <c r="N10" i="1"/>
  <c r="O10" i="1"/>
  <c r="P10" i="1"/>
  <c r="M10" i="1"/>
  <c r="I10" i="1"/>
  <c r="J10" i="1"/>
  <c r="K10" i="1"/>
  <c r="H10" i="1"/>
  <c r="N8" i="1"/>
  <c r="O8" i="1"/>
  <c r="P8" i="1"/>
  <c r="M8" i="1"/>
  <c r="I8" i="1"/>
  <c r="J8" i="1"/>
  <c r="K8" i="1"/>
  <c r="H8" i="1"/>
  <c r="N5" i="1"/>
  <c r="O5" i="1"/>
  <c r="P5" i="1"/>
  <c r="M5" i="1"/>
  <c r="I5" i="1"/>
  <c r="J5" i="1"/>
  <c r="K5" i="1"/>
  <c r="H5" i="1"/>
  <c r="N2" i="1"/>
  <c r="O2" i="1"/>
  <c r="P2" i="1"/>
  <c r="M2" i="1"/>
  <c r="I2" i="1"/>
  <c r="J2" i="1"/>
  <c r="K2" i="1"/>
  <c r="H2" i="1"/>
</calcChain>
</file>

<file path=xl/sharedStrings.xml><?xml version="1.0" encoding="utf-8"?>
<sst xmlns="http://schemas.openxmlformats.org/spreadsheetml/2006/main" count="150" uniqueCount="40">
  <si>
    <t>Model</t>
  </si>
  <si>
    <t>MSE</t>
  </si>
  <si>
    <t>MAPE</t>
  </si>
  <si>
    <t>MAE</t>
  </si>
  <si>
    <t>r2</t>
  </si>
  <si>
    <t>Resnet18</t>
  </si>
  <si>
    <t>resnet18</t>
  </si>
  <si>
    <t>resnet34</t>
  </si>
  <si>
    <t>resnet50</t>
  </si>
  <si>
    <t>yolov8-m</t>
  </si>
  <si>
    <t>yolov8-s</t>
  </si>
  <si>
    <t>yolov8-n</t>
  </si>
  <si>
    <t>yolov8-x</t>
  </si>
  <si>
    <t>Mobilenetv3</t>
  </si>
  <si>
    <t>Mobilenetv2</t>
  </si>
  <si>
    <t>Densenet</t>
  </si>
  <si>
    <t>Shufflenet</t>
  </si>
  <si>
    <t>PCINet</t>
  </si>
  <si>
    <t>PCINet-MSE</t>
  </si>
  <si>
    <t>PCINet-ori-data</t>
  </si>
  <si>
    <t>mean</t>
  </si>
  <si>
    <t>std</t>
  </si>
  <si>
    <t>MSE-ave</t>
  </si>
  <si>
    <t>MAPE-ave</t>
  </si>
  <si>
    <t>MAE-ave</t>
  </si>
  <si>
    <t>r2-ave</t>
  </si>
  <si>
    <t>MSE-std</t>
  </si>
  <si>
    <t>MAPE-std</t>
  </si>
  <si>
    <t>MAE-std</t>
  </si>
  <si>
    <t>r2-std</t>
  </si>
  <si>
    <t>Resnet34</t>
  </si>
  <si>
    <t>Resnet50</t>
  </si>
  <si>
    <t>PCINet-with original data</t>
  </si>
  <si>
    <t>Preprocessed data</t>
  </si>
  <si>
    <t>Original data</t>
  </si>
  <si>
    <t>Data</t>
  </si>
  <si>
    <t>Loss Function</t>
  </si>
  <si>
    <t>PCILoss</t>
  </si>
  <si>
    <t>MSELoss</t>
  </si>
  <si>
    <t>PCI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</si>
</sst>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"/>
  <sheetViews>
    <sheetView topLeftCell="A20" workbookViewId="0">
      <selection activeCell="H34" sqref="H34:P34"/>
    </sheetView>
  </sheetViews>
  <sheetFormatPr baseColWidth="10" defaultColWidth="8.83203125" defaultRowHeight="15" x14ac:dyDescent="0.2"/>
  <cols>
    <col min="1" max="1" width="21.832031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20</v>
      </c>
      <c r="H1" t="s">
        <v>1</v>
      </c>
      <c r="I1" t="s">
        <v>2</v>
      </c>
      <c r="J1" t="s">
        <v>3</v>
      </c>
      <c r="K1" t="s">
        <v>4</v>
      </c>
      <c r="L1" t="s">
        <v>21</v>
      </c>
      <c r="M1" t="s">
        <v>1</v>
      </c>
      <c r="N1" t="s">
        <v>2</v>
      </c>
      <c r="O1" t="s">
        <v>3</v>
      </c>
      <c r="P1" t="s">
        <v>4</v>
      </c>
    </row>
    <row r="2" spans="1:16" x14ac:dyDescent="0.2">
      <c r="A2" t="s">
        <v>6</v>
      </c>
      <c r="B2">
        <v>363</v>
      </c>
      <c r="C2">
        <v>94.5</v>
      </c>
      <c r="D2">
        <v>14.38</v>
      </c>
      <c r="E2">
        <v>0.48809999999999998</v>
      </c>
      <c r="H2">
        <f>AVERAGE(B2:B4)</f>
        <v>336.66666666666669</v>
      </c>
      <c r="I2">
        <f t="shared" ref="I2:K2" si="0">AVERAGE(C2:C4)</f>
        <v>114.30333333333334</v>
      </c>
      <c r="J2">
        <f t="shared" si="0"/>
        <v>13.823333333333332</v>
      </c>
      <c r="K2">
        <f t="shared" si="0"/>
        <v>0.52469999999999994</v>
      </c>
      <c r="M2">
        <f>STDEV(B2:B4)</f>
        <v>23.072349974229617</v>
      </c>
      <c r="N2">
        <f t="shared" ref="N2:P2" si="1">STDEV(C2:C4)</f>
        <v>19.156597645023787</v>
      </c>
      <c r="O2">
        <f t="shared" si="1"/>
        <v>0.52785730394997254</v>
      </c>
      <c r="P2">
        <f t="shared" si="1"/>
        <v>3.2057916339026153E-2</v>
      </c>
    </row>
    <row r="3" spans="1:16" x14ac:dyDescent="0.2">
      <c r="A3" t="s">
        <v>6</v>
      </c>
      <c r="B3">
        <v>320</v>
      </c>
      <c r="C3">
        <v>115.67</v>
      </c>
      <c r="D3">
        <v>13.33</v>
      </c>
      <c r="E3">
        <v>0.54779999999999995</v>
      </c>
    </row>
    <row r="4" spans="1:16" x14ac:dyDescent="0.2">
      <c r="A4" t="s">
        <v>6</v>
      </c>
      <c r="B4">
        <v>327</v>
      </c>
      <c r="C4">
        <v>132.74</v>
      </c>
      <c r="D4">
        <v>13.76</v>
      </c>
      <c r="E4">
        <v>0.53820000000000001</v>
      </c>
    </row>
    <row r="5" spans="1:16" x14ac:dyDescent="0.2">
      <c r="A5" t="s">
        <v>7</v>
      </c>
      <c r="B5">
        <v>319</v>
      </c>
      <c r="C5">
        <v>124.78</v>
      </c>
      <c r="D5">
        <v>13.36</v>
      </c>
      <c r="E5">
        <v>0.54959999999999998</v>
      </c>
      <c r="H5">
        <f>AVERAGE(B5:B7)</f>
        <v>345.33333333333331</v>
      </c>
      <c r="I5">
        <f t="shared" ref="I5:K5" si="2">AVERAGE(C5:C7)</f>
        <v>127.82333333333334</v>
      </c>
      <c r="J5">
        <f t="shared" si="2"/>
        <v>14.100000000000001</v>
      </c>
      <c r="K5">
        <f t="shared" si="2"/>
        <v>0.51246666666666674</v>
      </c>
      <c r="M5">
        <f>STDEV(B5:B7)</f>
        <v>32.036437588054845</v>
      </c>
      <c r="N5">
        <f t="shared" ref="N5:P5" si="3">STDEV(C5:C7)</f>
        <v>8.7131758465747353</v>
      </c>
      <c r="O5">
        <f t="shared" si="3"/>
        <v>0.91994565056855448</v>
      </c>
      <c r="P5">
        <f t="shared" si="3"/>
        <v>4.5437576226437668E-2</v>
      </c>
    </row>
    <row r="6" spans="1:16" x14ac:dyDescent="0.2">
      <c r="A6" t="s">
        <v>7</v>
      </c>
      <c r="B6">
        <v>381</v>
      </c>
      <c r="C6">
        <v>137.65</v>
      </c>
      <c r="D6">
        <v>15.13</v>
      </c>
      <c r="E6">
        <v>0.46179999999999999</v>
      </c>
    </row>
    <row r="7" spans="1:16" x14ac:dyDescent="0.2">
      <c r="A7" t="s">
        <v>7</v>
      </c>
      <c r="B7">
        <v>336</v>
      </c>
      <c r="C7">
        <v>121.04</v>
      </c>
      <c r="D7">
        <v>13.81</v>
      </c>
      <c r="E7">
        <v>0.52600000000000002</v>
      </c>
    </row>
    <row r="8" spans="1:16" x14ac:dyDescent="0.2">
      <c r="A8" t="s">
        <v>8</v>
      </c>
      <c r="B8">
        <v>340</v>
      </c>
      <c r="C8">
        <v>155.97999999999999</v>
      </c>
      <c r="D8">
        <v>14.26</v>
      </c>
      <c r="E8">
        <v>0.52090000000000003</v>
      </c>
      <c r="H8">
        <f>AVERAGE(B8:B9)</f>
        <v>352</v>
      </c>
      <c r="I8">
        <f t="shared" ref="I8:K8" si="4">AVERAGE(C8:C9)</f>
        <v>141.785</v>
      </c>
      <c r="J8">
        <f t="shared" si="4"/>
        <v>14.385</v>
      </c>
      <c r="K8">
        <f t="shared" si="4"/>
        <v>0.50395000000000001</v>
      </c>
      <c r="M8">
        <f>STDEV(B8:B9)</f>
        <v>16.970562748477139</v>
      </c>
      <c r="N8">
        <f t="shared" ref="N8:P8" si="5">STDEV(C8:C9)</f>
        <v>20.074761517886074</v>
      </c>
      <c r="O8">
        <f t="shared" si="5"/>
        <v>0.17677669529663689</v>
      </c>
      <c r="P8">
        <f t="shared" si="5"/>
        <v>2.3970919882223989E-2</v>
      </c>
    </row>
    <row r="9" spans="1:16" x14ac:dyDescent="0.2">
      <c r="A9" t="s">
        <v>8</v>
      </c>
      <c r="B9">
        <v>364</v>
      </c>
      <c r="C9">
        <v>127.59</v>
      </c>
      <c r="D9">
        <v>14.51</v>
      </c>
      <c r="E9">
        <v>0.48699999999999999</v>
      </c>
    </row>
    <row r="10" spans="1:16" x14ac:dyDescent="0.2">
      <c r="A10" t="s">
        <v>9</v>
      </c>
      <c r="B10">
        <v>348</v>
      </c>
      <c r="C10">
        <v>59.88</v>
      </c>
      <c r="D10">
        <v>10.16</v>
      </c>
      <c r="E10">
        <v>0.51910000000000001</v>
      </c>
      <c r="H10">
        <f>AVERAGE(B10:B12)</f>
        <v>336.75939999999997</v>
      </c>
      <c r="I10">
        <f t="shared" ref="I10:K10" si="6">AVERAGE(C10:C12)</f>
        <v>272.46899999999999</v>
      </c>
      <c r="J10">
        <f t="shared" si="6"/>
        <v>9.813133333333333</v>
      </c>
      <c r="K10">
        <f t="shared" si="6"/>
        <v>0.53483333333333338</v>
      </c>
      <c r="M10">
        <f>STDEV(B10:B12)</f>
        <v>10.791633272123361</v>
      </c>
      <c r="N10">
        <f t="shared" ref="N10:P10" si="7">STDEV(C10:C12)</f>
        <v>375.80331725917483</v>
      </c>
      <c r="O10">
        <f t="shared" si="7"/>
        <v>0.30851167454949469</v>
      </c>
      <c r="P10">
        <f t="shared" si="7"/>
        <v>1.5053681720208306E-2</v>
      </c>
    </row>
    <row r="11" spans="1:16" x14ac:dyDescent="0.2">
      <c r="A11" t="s">
        <v>9</v>
      </c>
      <c r="B11">
        <v>335.79700000000003</v>
      </c>
      <c r="C11">
        <v>706.38</v>
      </c>
      <c r="D11">
        <v>9.7100000000000009</v>
      </c>
      <c r="E11">
        <v>0.5363</v>
      </c>
    </row>
    <row r="12" spans="1:16" x14ac:dyDescent="0.2">
      <c r="A12" t="s">
        <v>9</v>
      </c>
      <c r="B12">
        <v>326.4812</v>
      </c>
      <c r="C12">
        <v>51.146999999999998</v>
      </c>
      <c r="D12">
        <v>9.5693999999999999</v>
      </c>
      <c r="E12">
        <v>0.54910000000000003</v>
      </c>
    </row>
    <row r="13" spans="1:16" x14ac:dyDescent="0.2">
      <c r="A13" t="s">
        <v>10</v>
      </c>
      <c r="B13">
        <v>316.30930000000001</v>
      </c>
      <c r="C13">
        <v>181.23349999999999</v>
      </c>
      <c r="D13">
        <v>9.6180000000000003</v>
      </c>
      <c r="E13">
        <v>0.56320000000000003</v>
      </c>
      <c r="H13">
        <f>AVERAGE(B13:B15)</f>
        <v>315.04126666666667</v>
      </c>
      <c r="I13">
        <f t="shared" ref="I13:K13" si="8">AVERAGE(C13:C15)</f>
        <v>138.35053333333335</v>
      </c>
      <c r="J13">
        <f t="shared" si="8"/>
        <v>9.56</v>
      </c>
      <c r="K13">
        <f t="shared" si="8"/>
        <v>0.5649333333333334</v>
      </c>
      <c r="M13">
        <f>STDEV(B13:B15)</f>
        <v>2.1962981590242587</v>
      </c>
      <c r="N13">
        <f t="shared" ref="N13:P13" si="9">STDEV(C13:C15)</f>
        <v>74.275477045949216</v>
      </c>
      <c r="O13">
        <f t="shared" si="9"/>
        <v>0.10045894683899459</v>
      </c>
      <c r="P13">
        <f t="shared" si="9"/>
        <v>3.0022213997860439E-3</v>
      </c>
    </row>
    <row r="14" spans="1:16" x14ac:dyDescent="0.2">
      <c r="A14" t="s">
        <v>10</v>
      </c>
      <c r="B14">
        <v>312.5052</v>
      </c>
      <c r="C14">
        <v>52.584600000000002</v>
      </c>
      <c r="D14">
        <v>9.4440000000000008</v>
      </c>
      <c r="E14">
        <v>0.56840000000000002</v>
      </c>
    </row>
    <row r="15" spans="1:16" x14ac:dyDescent="0.2">
      <c r="A15" t="s">
        <v>10</v>
      </c>
      <c r="B15">
        <v>316.30930000000001</v>
      </c>
      <c r="C15">
        <v>181.23349999999999</v>
      </c>
      <c r="D15">
        <v>9.6180000000000003</v>
      </c>
      <c r="E15">
        <v>0.56320000000000003</v>
      </c>
    </row>
    <row r="16" spans="1:16" x14ac:dyDescent="0.2">
      <c r="A16" t="s">
        <v>11</v>
      </c>
      <c r="B16">
        <v>430</v>
      </c>
      <c r="C16">
        <v>1621.9960000000001</v>
      </c>
      <c r="D16">
        <v>13.036960000000001</v>
      </c>
      <c r="E16">
        <v>0.40522999999999998</v>
      </c>
      <c r="H16">
        <f>AVERAGE(B16:B17)</f>
        <v>395.2876</v>
      </c>
      <c r="I16">
        <f t="shared" ref="I16:K16" si="10">AVERAGE(C16:C17)</f>
        <v>1359.4277500000001</v>
      </c>
      <c r="J16">
        <f t="shared" si="10"/>
        <v>11.77948</v>
      </c>
      <c r="K16">
        <f t="shared" si="10"/>
        <v>0.45361499999999999</v>
      </c>
      <c r="M16">
        <f>STDEV(B16:B17)</f>
        <v>49.090746862519829</v>
      </c>
      <c r="N16">
        <f t="shared" ref="N16:P16" si="11">STDEV(C16:C17)</f>
        <v>371.32758019856885</v>
      </c>
      <c r="O16">
        <f t="shared" si="11"/>
        <v>1.778345270412931</v>
      </c>
      <c r="P16">
        <f t="shared" si="11"/>
        <v>6.8426723215422189E-2</v>
      </c>
    </row>
    <row r="17" spans="1:16" x14ac:dyDescent="0.2">
      <c r="A17" t="s">
        <v>11</v>
      </c>
      <c r="B17">
        <v>360.5752</v>
      </c>
      <c r="C17">
        <v>1096.8595</v>
      </c>
      <c r="D17">
        <v>10.522</v>
      </c>
      <c r="E17">
        <v>0.502</v>
      </c>
    </row>
    <row r="18" spans="1:16" x14ac:dyDescent="0.2">
      <c r="A18" t="s">
        <v>12</v>
      </c>
      <c r="B18">
        <v>394.33589999999998</v>
      </c>
      <c r="C18">
        <v>978.09450000000004</v>
      </c>
      <c r="D18">
        <v>12.1051</v>
      </c>
      <c r="E18">
        <v>0.45540000000000003</v>
      </c>
      <c r="H18">
        <f>AVERAGE(B18:B19)</f>
        <v>349.24545000000001</v>
      </c>
      <c r="I18">
        <f t="shared" ref="I18:K18" si="12">AVERAGE(C18:C19)</f>
        <v>939.43000000000006</v>
      </c>
      <c r="J18">
        <f t="shared" si="12"/>
        <v>10.747399999999999</v>
      </c>
      <c r="K18">
        <f t="shared" si="12"/>
        <v>0.51764999999999994</v>
      </c>
      <c r="M18">
        <f>STDEV(B18:B19)</f>
        <v>63.76752592350563</v>
      </c>
      <c r="N18">
        <f t="shared" ref="N18:P18" si="13">STDEV(C18:C19)</f>
        <v>54.679860282374577</v>
      </c>
      <c r="O18">
        <f t="shared" si="13"/>
        <v>1.9200777536339617</v>
      </c>
      <c r="P18">
        <f t="shared" si="13"/>
        <v>8.8034794257725466E-2</v>
      </c>
    </row>
    <row r="19" spans="1:16" x14ac:dyDescent="0.2">
      <c r="A19" t="s">
        <v>12</v>
      </c>
      <c r="B19">
        <v>304.15499999999997</v>
      </c>
      <c r="C19">
        <v>900.76549999999997</v>
      </c>
      <c r="D19">
        <v>9.3896999999999995</v>
      </c>
      <c r="E19">
        <v>0.57989999999999997</v>
      </c>
    </row>
    <row r="20" spans="1:16" x14ac:dyDescent="0.2">
      <c r="A20" t="s">
        <v>13</v>
      </c>
      <c r="B20">
        <v>278.10849999999999</v>
      </c>
      <c r="C20">
        <v>57.019399999999997</v>
      </c>
      <c r="D20">
        <v>12.6023</v>
      </c>
      <c r="E20">
        <v>0.60760000000000003</v>
      </c>
      <c r="H20">
        <f>AVERAGE(B20:B21)</f>
        <v>285.36374999999998</v>
      </c>
      <c r="I20">
        <f t="shared" ref="I20:K20" si="14">AVERAGE(C20:C21)</f>
        <v>57.460349999999998</v>
      </c>
      <c r="J20">
        <f t="shared" si="14"/>
        <v>12.832000000000001</v>
      </c>
      <c r="K20">
        <f t="shared" si="14"/>
        <v>0.59735000000000005</v>
      </c>
      <c r="M20">
        <f>STDEV(B20:B21)</f>
        <v>10.260472948407424</v>
      </c>
      <c r="N20">
        <f t="shared" ref="N20:P20" si="15">STDEV(C20:C21)</f>
        <v>0.62359747032841739</v>
      </c>
      <c r="O20">
        <f t="shared" si="15"/>
        <v>0.32484485527710028</v>
      </c>
      <c r="P20">
        <f t="shared" si="15"/>
        <v>1.4495689014324277E-2</v>
      </c>
    </row>
    <row r="21" spans="1:16" x14ac:dyDescent="0.2">
      <c r="A21" t="s">
        <v>13</v>
      </c>
      <c r="B21">
        <v>292.61900000000003</v>
      </c>
      <c r="C21">
        <v>57.901299999999999</v>
      </c>
      <c r="D21">
        <v>13.0617</v>
      </c>
      <c r="E21">
        <v>0.58709999999999996</v>
      </c>
    </row>
    <row r="22" spans="1:16" x14ac:dyDescent="0.2">
      <c r="A22" t="s">
        <v>14</v>
      </c>
      <c r="B22">
        <v>336.71519999999998</v>
      </c>
      <c r="C22">
        <v>95.881699999999995</v>
      </c>
      <c r="D22">
        <v>13.963800000000001</v>
      </c>
      <c r="E22">
        <v>0.52490000000000003</v>
      </c>
      <c r="H22">
        <f>AVERAGE(B22:B23)</f>
        <v>319.55644999999998</v>
      </c>
      <c r="I22">
        <f t="shared" ref="I22:K22" si="16">AVERAGE(C22:C23)</f>
        <v>92.803449999999998</v>
      </c>
      <c r="J22">
        <f t="shared" si="16"/>
        <v>13.6358</v>
      </c>
      <c r="K22">
        <f t="shared" si="16"/>
        <v>0.54910000000000003</v>
      </c>
      <c r="M22">
        <f>STDEV(B22:B23)</f>
        <v>24.266136963369341</v>
      </c>
      <c r="N22">
        <f t="shared" ref="N22:P22" si="17">STDEV(C22:C23)</f>
        <v>4.3533028983749755</v>
      </c>
      <c r="O22">
        <f t="shared" si="17"/>
        <v>0.46386204845837559</v>
      </c>
      <c r="P22">
        <f t="shared" si="17"/>
        <v>3.4223968209428898E-2</v>
      </c>
    </row>
    <row r="23" spans="1:16" x14ac:dyDescent="0.2">
      <c r="A23" t="s">
        <v>14</v>
      </c>
      <c r="B23">
        <v>302.39769999999999</v>
      </c>
      <c r="C23">
        <v>89.725200000000001</v>
      </c>
      <c r="D23">
        <v>13.3078</v>
      </c>
      <c r="E23">
        <v>0.57330000000000003</v>
      </c>
    </row>
    <row r="24" spans="1:16" x14ac:dyDescent="0.2">
      <c r="A24" t="s">
        <v>15</v>
      </c>
      <c r="B24">
        <v>308.0926</v>
      </c>
      <c r="C24">
        <v>66.803299999999993</v>
      </c>
      <c r="D24">
        <v>13.0573</v>
      </c>
      <c r="E24">
        <v>0.56530000000000002</v>
      </c>
      <c r="H24">
        <f>AVERAGE(B24:B25)</f>
        <v>305.90610000000004</v>
      </c>
      <c r="I24">
        <f t="shared" ref="I24:K24" si="18">AVERAGE(C24:C25)</f>
        <v>61.923400000000001</v>
      </c>
      <c r="J24">
        <f t="shared" si="18"/>
        <v>13.084199999999999</v>
      </c>
      <c r="K24">
        <f t="shared" si="18"/>
        <v>0.56835000000000002</v>
      </c>
      <c r="M24">
        <f>STDEV(B24:B25)</f>
        <v>3.0921779541287657</v>
      </c>
      <c r="N24">
        <f t="shared" ref="N24:P24" si="19">STDEV(C24:C25)</f>
        <v>6.90122076302446</v>
      </c>
      <c r="O24">
        <f t="shared" si="19"/>
        <v>3.8042344827836777E-2</v>
      </c>
      <c r="P24">
        <f t="shared" si="19"/>
        <v>4.3133513652379362E-3</v>
      </c>
    </row>
    <row r="25" spans="1:16" x14ac:dyDescent="0.2">
      <c r="A25" t="s">
        <v>15</v>
      </c>
      <c r="B25">
        <v>303.71960000000001</v>
      </c>
      <c r="C25">
        <v>57.043500000000002</v>
      </c>
      <c r="D25">
        <v>13.1111</v>
      </c>
      <c r="E25">
        <v>0.57140000000000002</v>
      </c>
    </row>
    <row r="26" spans="1:16" x14ac:dyDescent="0.2">
      <c r="A26" t="s">
        <v>16</v>
      </c>
      <c r="B26">
        <v>300.04500000000002</v>
      </c>
      <c r="C26">
        <v>55.23827</v>
      </c>
      <c r="D26">
        <v>13.2019</v>
      </c>
      <c r="E26">
        <v>0.5766</v>
      </c>
      <c r="H26">
        <f>AVERAGE(B26:B28)</f>
        <v>309.56496666666663</v>
      </c>
      <c r="I26">
        <f t="shared" ref="I26:K26" si="20">AVERAGE(C26:C28)</f>
        <v>58.479623333333336</v>
      </c>
      <c r="J26">
        <f t="shared" si="20"/>
        <v>13.475</v>
      </c>
      <c r="K26">
        <f t="shared" si="20"/>
        <v>0.56316666666666659</v>
      </c>
      <c r="M26">
        <f>STDEV(B26:B28)</f>
        <v>11.359418555689064</v>
      </c>
      <c r="N26">
        <f t="shared" ref="N26:P26" si="21">STDEV(C26:C28)</f>
        <v>21.801174433127052</v>
      </c>
      <c r="O26">
        <f t="shared" si="21"/>
        <v>0.26261745943482112</v>
      </c>
      <c r="P26">
        <f t="shared" si="21"/>
        <v>1.6045040770697138E-2</v>
      </c>
    </row>
    <row r="27" spans="1:16" x14ac:dyDescent="0.2">
      <c r="A27" t="s">
        <v>16</v>
      </c>
      <c r="B27">
        <v>322.13929999999999</v>
      </c>
      <c r="C27">
        <v>38.480600000000003</v>
      </c>
      <c r="D27">
        <v>13.497400000000001</v>
      </c>
      <c r="E27">
        <v>0.5454</v>
      </c>
    </row>
    <row r="28" spans="1:16" x14ac:dyDescent="0.2">
      <c r="A28" t="s">
        <v>16</v>
      </c>
      <c r="B28">
        <v>306.51060000000001</v>
      </c>
      <c r="C28">
        <v>81.72</v>
      </c>
      <c r="D28">
        <v>13.7257</v>
      </c>
      <c r="E28">
        <v>0.5675</v>
      </c>
    </row>
    <row r="29" spans="1:16" x14ac:dyDescent="0.2">
      <c r="A29" t="s">
        <v>17</v>
      </c>
      <c r="B29">
        <v>188.0564</v>
      </c>
      <c r="C29">
        <v>41.954300000000003</v>
      </c>
      <c r="D29">
        <v>9.2768999999999995</v>
      </c>
      <c r="E29">
        <v>0.73950000000000005</v>
      </c>
      <c r="H29">
        <f>AVERAGE(B29:B30)</f>
        <v>191.86054999999999</v>
      </c>
      <c r="I29">
        <f t="shared" ref="I29:K29" si="22">AVERAGE(C29:C30)</f>
        <v>44.22616</v>
      </c>
      <c r="J29">
        <f t="shared" si="22"/>
        <v>9.3170999999999999</v>
      </c>
      <c r="K29">
        <f t="shared" si="22"/>
        <v>0.73425000000000007</v>
      </c>
      <c r="M29">
        <f>STDEV(B29:B30)</f>
        <v>5.3798805233016189</v>
      </c>
      <c r="N29">
        <f t="shared" ref="N29:P29" si="23">STDEV(C29:C30)</f>
        <v>3.2128952238129349</v>
      </c>
      <c r="O29">
        <f t="shared" si="23"/>
        <v>5.6851385207399067E-2</v>
      </c>
      <c r="P29">
        <f t="shared" si="23"/>
        <v>7.4246212024587947E-3</v>
      </c>
    </row>
    <row r="30" spans="1:16" x14ac:dyDescent="0.2">
      <c r="A30" t="s">
        <v>17</v>
      </c>
      <c r="B30">
        <v>195.66470000000001</v>
      </c>
      <c r="C30">
        <v>46.498019999999997</v>
      </c>
      <c r="D30">
        <v>9.3573000000000004</v>
      </c>
      <c r="E30">
        <v>0.72899999999999998</v>
      </c>
    </row>
    <row r="31" spans="1:16" x14ac:dyDescent="0.2">
      <c r="A31" t="s">
        <v>18</v>
      </c>
      <c r="B31">
        <v>243</v>
      </c>
      <c r="C31">
        <v>147.828</v>
      </c>
      <c r="D31">
        <v>11.45</v>
      </c>
      <c r="E31">
        <v>0.65749999999999997</v>
      </c>
      <c r="H31">
        <f>AVERAGE(B31:B33)</f>
        <v>248.73073333333332</v>
      </c>
      <c r="I31">
        <f t="shared" ref="I31:K31" si="24">AVERAGE(C31:C33)</f>
        <v>90.781864666666664</v>
      </c>
      <c r="J31">
        <f t="shared" si="24"/>
        <v>11.497999999999999</v>
      </c>
      <c r="K31">
        <f t="shared" si="24"/>
        <v>0.64913333333333334</v>
      </c>
      <c r="M31">
        <f>STDEV(B31:B33)</f>
        <v>12.075788000927027</v>
      </c>
      <c r="N31">
        <f t="shared" ref="N31:P31" si="25">STDEV(C31:C33)</f>
        <v>49.530655853749245</v>
      </c>
      <c r="O31">
        <f t="shared" si="25"/>
        <v>0.29920175467399973</v>
      </c>
      <c r="P31">
        <f t="shared" si="25"/>
        <v>1.715527129873887E-2</v>
      </c>
    </row>
    <row r="32" spans="1:16" x14ac:dyDescent="0.2">
      <c r="A32" t="s">
        <v>18</v>
      </c>
      <c r="B32">
        <v>262.60489999999999</v>
      </c>
      <c r="C32">
        <v>58.710599999999999</v>
      </c>
      <c r="D32">
        <v>11.818300000000001</v>
      </c>
      <c r="E32">
        <v>0.62939999999999996</v>
      </c>
    </row>
    <row r="33" spans="1:16" x14ac:dyDescent="0.2">
      <c r="A33" t="s">
        <v>18</v>
      </c>
      <c r="B33">
        <v>240.5873</v>
      </c>
      <c r="C33">
        <v>65.806994000000003</v>
      </c>
      <c r="D33">
        <v>11.2257</v>
      </c>
      <c r="E33">
        <v>0.66049999999999998</v>
      </c>
    </row>
    <row r="34" spans="1:16" x14ac:dyDescent="0.2">
      <c r="A34" t="s">
        <v>19</v>
      </c>
      <c r="B34">
        <v>249</v>
      </c>
      <c r="C34">
        <v>104.0278</v>
      </c>
      <c r="D34">
        <v>11.42</v>
      </c>
      <c r="E34">
        <v>0.6492</v>
      </c>
      <c r="H34">
        <f>AVERAGE(B34:B36)</f>
        <v>251.70046666666667</v>
      </c>
      <c r="I34">
        <f t="shared" ref="I34:K34" si="26">AVERAGE(C34:C36)</f>
        <v>91.72361033333334</v>
      </c>
      <c r="J34">
        <f t="shared" si="26"/>
        <v>11.519399999999999</v>
      </c>
      <c r="K34">
        <f t="shared" si="26"/>
        <v>0.64506666666666668</v>
      </c>
      <c r="M34">
        <f>STDEV(B34:B36)</f>
        <v>3.7640085883713539</v>
      </c>
      <c r="N34">
        <f t="shared" ref="N34:P34" si="27">STDEV(C34:C36)</f>
        <v>34.707500172656012</v>
      </c>
      <c r="O34">
        <f t="shared" si="27"/>
        <v>9.5305193982279671E-2</v>
      </c>
      <c r="P34">
        <f t="shared" si="27"/>
        <v>5.442732157045136E-3</v>
      </c>
    </row>
    <row r="35" spans="1:16" x14ac:dyDescent="0.2">
      <c r="A35" t="s">
        <v>19</v>
      </c>
      <c r="B35">
        <v>256</v>
      </c>
      <c r="C35">
        <v>118.6028</v>
      </c>
      <c r="D35">
        <v>11.61</v>
      </c>
      <c r="E35">
        <v>0.63890000000000002</v>
      </c>
    </row>
    <row r="36" spans="1:16" x14ac:dyDescent="0.2">
      <c r="A36" t="s">
        <v>19</v>
      </c>
      <c r="B36">
        <v>250.10140000000001</v>
      </c>
      <c r="C36">
        <v>52.540230999999999</v>
      </c>
      <c r="D36">
        <v>11.5282</v>
      </c>
      <c r="E36">
        <v>0.64710000000000001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"/>
  <sheetViews>
    <sheetView workbookViewId="0">
      <selection activeCell="D13" sqref="D13"/>
    </sheetView>
  </sheetViews>
  <sheetFormatPr baseColWidth="10" defaultColWidth="8.83203125" defaultRowHeight="15" x14ac:dyDescent="0.2"/>
  <cols>
    <col min="1" max="1" width="18.1640625" customWidth="1"/>
  </cols>
  <sheetData>
    <row r="1" spans="1:9" x14ac:dyDescent="0.2">
      <c r="A1" t="s">
        <v>0</v>
      </c>
      <c r="B1" t="s">
        <v>22</v>
      </c>
      <c r="C1" t="s">
        <v>23</v>
      </c>
      <c r="D1" t="s">
        <v>24</v>
      </c>
      <c r="E1" t="s">
        <v>25</v>
      </c>
      <c r="F1" s="1" t="s">
        <v>26</v>
      </c>
      <c r="G1" s="1" t="s">
        <v>27</v>
      </c>
      <c r="H1" s="1" t="s">
        <v>28</v>
      </c>
      <c r="I1" s="1" t="s">
        <v>29</v>
      </c>
    </row>
    <row r="2" spans="1:9" x14ac:dyDescent="0.2">
      <c r="A2" t="s">
        <v>5</v>
      </c>
      <c r="B2">
        <v>336.66666666666669</v>
      </c>
      <c r="C2">
        <v>114.30333333333334</v>
      </c>
      <c r="D2">
        <v>13.823333333333332</v>
      </c>
      <c r="E2">
        <v>0.52469999999999994</v>
      </c>
      <c r="F2">
        <v>23.072349974229617</v>
      </c>
      <c r="G2">
        <v>19.156597645023787</v>
      </c>
      <c r="H2">
        <v>0.52785730394997254</v>
      </c>
      <c r="I2">
        <v>3.2057916339026153E-2</v>
      </c>
    </row>
    <row r="3" spans="1:9" x14ac:dyDescent="0.2">
      <c r="A3" t="s">
        <v>30</v>
      </c>
      <c r="B3">
        <v>345.33333333333331</v>
      </c>
      <c r="C3">
        <v>127.82333333333334</v>
      </c>
      <c r="D3">
        <v>14.100000000000001</v>
      </c>
      <c r="E3">
        <v>0.51246666666666674</v>
      </c>
      <c r="F3">
        <v>32.036437588054845</v>
      </c>
      <c r="G3">
        <v>8.7131758465747353</v>
      </c>
      <c r="H3">
        <v>0.91994565056855448</v>
      </c>
      <c r="I3">
        <v>4.5437576226437668E-2</v>
      </c>
    </row>
    <row r="4" spans="1:9" x14ac:dyDescent="0.2">
      <c r="A4" t="s">
        <v>31</v>
      </c>
      <c r="B4">
        <v>352</v>
      </c>
      <c r="C4">
        <v>141.785</v>
      </c>
      <c r="D4">
        <v>14.385</v>
      </c>
      <c r="E4">
        <v>0.50395000000000001</v>
      </c>
      <c r="F4">
        <v>16.970562748477139</v>
      </c>
      <c r="G4">
        <v>20.074761517886074</v>
      </c>
      <c r="H4">
        <v>0.17677669529663689</v>
      </c>
      <c r="I4">
        <v>2.3970919882223989E-2</v>
      </c>
    </row>
    <row r="5" spans="1:9" x14ac:dyDescent="0.2">
      <c r="A5" t="s">
        <v>9</v>
      </c>
      <c r="B5">
        <v>336.75939999999997</v>
      </c>
      <c r="C5">
        <v>272.46899999999999</v>
      </c>
      <c r="D5">
        <v>9.813133333333333</v>
      </c>
      <c r="E5">
        <v>0.53483333333333338</v>
      </c>
      <c r="F5">
        <v>10.791633272123361</v>
      </c>
      <c r="G5">
        <v>375.80331725917483</v>
      </c>
      <c r="H5">
        <v>0.30851167454949469</v>
      </c>
      <c r="I5">
        <v>1.5053681720208306E-2</v>
      </c>
    </row>
    <row r="6" spans="1:9" x14ac:dyDescent="0.2">
      <c r="A6" t="s">
        <v>10</v>
      </c>
      <c r="B6">
        <v>315.04126666666667</v>
      </c>
      <c r="C6">
        <v>138.35053333333335</v>
      </c>
      <c r="D6">
        <v>9.56</v>
      </c>
      <c r="E6">
        <v>0.5649333333333334</v>
      </c>
      <c r="F6">
        <v>2.1962981590242587</v>
      </c>
      <c r="G6">
        <v>74.275477045949216</v>
      </c>
      <c r="H6">
        <v>0.10045894683899459</v>
      </c>
      <c r="I6">
        <v>3.0022213997860439E-3</v>
      </c>
    </row>
    <row r="7" spans="1:9" x14ac:dyDescent="0.2">
      <c r="A7" t="s">
        <v>11</v>
      </c>
      <c r="B7">
        <v>395.2876</v>
      </c>
      <c r="C7">
        <v>1359.4277500000001</v>
      </c>
      <c r="D7">
        <v>11.77948</v>
      </c>
      <c r="E7">
        <v>0.45361499999999999</v>
      </c>
      <c r="F7">
        <v>49.090746862519829</v>
      </c>
      <c r="G7">
        <v>371.32758019856885</v>
      </c>
      <c r="H7">
        <v>1.778345270412931</v>
      </c>
      <c r="I7">
        <v>6.8426723215422189E-2</v>
      </c>
    </row>
    <row r="8" spans="1:9" x14ac:dyDescent="0.2">
      <c r="A8" t="s">
        <v>12</v>
      </c>
      <c r="B8">
        <v>349.24545000000001</v>
      </c>
      <c r="C8">
        <v>939.43000000000006</v>
      </c>
      <c r="D8">
        <v>10.747399999999999</v>
      </c>
      <c r="E8">
        <v>0.51764999999999994</v>
      </c>
      <c r="F8">
        <v>63.76752592350563</v>
      </c>
      <c r="G8">
        <v>54.679860282374577</v>
      </c>
      <c r="H8">
        <v>1.9200777536339617</v>
      </c>
      <c r="I8">
        <v>8.8034794257725466E-2</v>
      </c>
    </row>
    <row r="9" spans="1:9" x14ac:dyDescent="0.2">
      <c r="A9" t="s">
        <v>13</v>
      </c>
      <c r="B9">
        <v>285.36374999999998</v>
      </c>
      <c r="C9">
        <v>57.460349999999998</v>
      </c>
      <c r="D9">
        <v>12.832000000000001</v>
      </c>
      <c r="E9">
        <v>0.59735000000000005</v>
      </c>
      <c r="F9">
        <v>10.260472948407424</v>
      </c>
      <c r="G9">
        <v>0.62359747032841739</v>
      </c>
      <c r="H9">
        <v>0.32484485527710028</v>
      </c>
      <c r="I9">
        <v>1.4495689014324277E-2</v>
      </c>
    </row>
    <row r="10" spans="1:9" x14ac:dyDescent="0.2">
      <c r="A10" t="s">
        <v>14</v>
      </c>
      <c r="B10">
        <v>319.55644999999998</v>
      </c>
      <c r="C10">
        <v>92.803449999999998</v>
      </c>
      <c r="D10">
        <v>13.6358</v>
      </c>
      <c r="E10">
        <v>0.54910000000000003</v>
      </c>
      <c r="F10">
        <v>24.266136963369341</v>
      </c>
      <c r="G10">
        <v>4.3533028983749755</v>
      </c>
      <c r="H10">
        <v>0.46386204845837559</v>
      </c>
      <c r="I10">
        <v>3.4223968209428898E-2</v>
      </c>
    </row>
    <row r="11" spans="1:9" x14ac:dyDescent="0.2">
      <c r="A11" t="s">
        <v>15</v>
      </c>
      <c r="B11">
        <v>305.90610000000004</v>
      </c>
      <c r="C11">
        <v>61.923400000000001</v>
      </c>
      <c r="D11">
        <v>13.084199999999999</v>
      </c>
      <c r="E11">
        <v>0.56835000000000002</v>
      </c>
      <c r="F11">
        <v>3.0921779541287657</v>
      </c>
      <c r="G11">
        <v>6.90122076302446</v>
      </c>
      <c r="H11">
        <v>3.8042344827836777E-2</v>
      </c>
      <c r="I11">
        <v>4.3133513652379362E-3</v>
      </c>
    </row>
    <row r="12" spans="1:9" x14ac:dyDescent="0.2">
      <c r="A12" t="s">
        <v>16</v>
      </c>
      <c r="B12">
        <v>309.56496666666663</v>
      </c>
      <c r="C12">
        <v>58.479623333333336</v>
      </c>
      <c r="D12">
        <v>13.475</v>
      </c>
      <c r="E12">
        <v>0.56316666666666659</v>
      </c>
      <c r="F12">
        <v>11.359418555689064</v>
      </c>
      <c r="G12">
        <v>21.801174433127052</v>
      </c>
      <c r="H12">
        <v>0.26261745943482112</v>
      </c>
      <c r="I12">
        <v>1.6045040770697138E-2</v>
      </c>
    </row>
    <row r="13" spans="1:9" x14ac:dyDescent="0.2">
      <c r="A13" t="s">
        <v>17</v>
      </c>
      <c r="B13">
        <v>191.86054999999999</v>
      </c>
      <c r="C13">
        <v>44.22616</v>
      </c>
      <c r="D13">
        <v>9.3170999999999999</v>
      </c>
      <c r="E13">
        <v>0.73425000000000007</v>
      </c>
      <c r="F13">
        <v>5.3798805233016189</v>
      </c>
      <c r="G13">
        <v>3.2128952238129349</v>
      </c>
      <c r="H13">
        <v>5.6851385207399067E-2</v>
      </c>
      <c r="I13">
        <v>7.4246212024587947E-3</v>
      </c>
    </row>
    <row r="14" spans="1:9" x14ac:dyDescent="0.2">
      <c r="A14" t="s">
        <v>18</v>
      </c>
      <c r="B14">
        <v>248.73073333333332</v>
      </c>
      <c r="C14">
        <v>90.781864666666664</v>
      </c>
      <c r="D14">
        <v>11.497999999999999</v>
      </c>
      <c r="E14">
        <v>0.64913333333333334</v>
      </c>
      <c r="F14">
        <v>12.075788000927027</v>
      </c>
      <c r="G14">
        <v>49.530655853749245</v>
      </c>
      <c r="H14">
        <v>0.29920175467399973</v>
      </c>
      <c r="I14">
        <v>1.715527129873887E-2</v>
      </c>
    </row>
    <row r="15" spans="1:9" x14ac:dyDescent="0.2">
      <c r="A15" t="s">
        <v>19</v>
      </c>
      <c r="B15">
        <v>251.70046666666667</v>
      </c>
      <c r="C15">
        <v>91.72361033333334</v>
      </c>
      <c r="D15">
        <v>11.519399999999999</v>
      </c>
      <c r="E15">
        <v>0.64506666666666668</v>
      </c>
      <c r="F15">
        <v>3.7640085883713539</v>
      </c>
      <c r="G15">
        <v>34.707500172656012</v>
      </c>
      <c r="H15">
        <v>9.5305193982279671E-2</v>
      </c>
      <c r="I15">
        <v>5.442732157045136E-3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11371-A6AC-634C-A5FD-A52B7DAFA319}">
  <dimension ref="A1:I4"/>
  <sheetViews>
    <sheetView workbookViewId="0">
      <selection sqref="A1:I4"/>
    </sheetView>
  </sheetViews>
  <sheetFormatPr baseColWidth="10" defaultRowHeight="15" x14ac:dyDescent="0.2"/>
  <cols>
    <col min="1" max="1" width="42" customWidth="1"/>
  </cols>
  <sheetData>
    <row r="1" spans="1:9" x14ac:dyDescent="0.2">
      <c r="A1" t="s">
        <v>0</v>
      </c>
      <c r="B1" t="s">
        <v>22</v>
      </c>
      <c r="C1" t="s">
        <v>23</v>
      </c>
      <c r="D1" t="s">
        <v>24</v>
      </c>
      <c r="E1" t="s">
        <v>25</v>
      </c>
      <c r="F1" s="1" t="s">
        <v>26</v>
      </c>
      <c r="G1" s="1" t="s">
        <v>27</v>
      </c>
      <c r="H1" s="1" t="s">
        <v>28</v>
      </c>
      <c r="I1" s="1" t="s">
        <v>29</v>
      </c>
    </row>
    <row r="2" spans="1:9" x14ac:dyDescent="0.2">
      <c r="A2" t="s">
        <v>17</v>
      </c>
      <c r="B2">
        <v>191.86054999999999</v>
      </c>
      <c r="C2">
        <v>44.22616</v>
      </c>
      <c r="D2">
        <v>9.3170999999999999</v>
      </c>
      <c r="E2">
        <v>0.73425000000000007</v>
      </c>
      <c r="F2">
        <v>5.3798805233016189</v>
      </c>
      <c r="G2">
        <v>3.2128952238129349</v>
      </c>
      <c r="H2">
        <v>5.6851385207399067E-2</v>
      </c>
      <c r="I2">
        <v>7.4246212024587947E-3</v>
      </c>
    </row>
    <row r="3" spans="1:9" x14ac:dyDescent="0.2">
      <c r="A3" t="s">
        <v>18</v>
      </c>
      <c r="B3">
        <v>248.73073333333332</v>
      </c>
      <c r="C3">
        <v>90.781864666666664</v>
      </c>
      <c r="D3">
        <v>11.497999999999999</v>
      </c>
      <c r="E3">
        <v>0.64913333333333334</v>
      </c>
      <c r="F3">
        <v>12.075788000927027</v>
      </c>
      <c r="G3">
        <v>49.530655853749245</v>
      </c>
      <c r="H3">
        <v>0.29920175467399973</v>
      </c>
      <c r="I3">
        <v>1.715527129873887E-2</v>
      </c>
    </row>
    <row r="4" spans="1:9" x14ac:dyDescent="0.2">
      <c r="A4" t="s">
        <v>32</v>
      </c>
      <c r="B4">
        <v>251.70046666666667</v>
      </c>
      <c r="C4">
        <v>91.72361033333334</v>
      </c>
      <c r="D4">
        <v>11.519399999999999</v>
      </c>
      <c r="E4">
        <v>0.64506666666666668</v>
      </c>
      <c r="F4">
        <v>3.7640085883713539</v>
      </c>
      <c r="G4">
        <v>34.707500172656012</v>
      </c>
      <c r="H4">
        <v>9.5305193982279671E-2</v>
      </c>
      <c r="I4">
        <v>5.442732157045136E-3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4371F-5F5C-B744-BF86-4EB3C5067089}">
  <dimension ref="A1:I3"/>
  <sheetViews>
    <sheetView workbookViewId="0">
      <selection activeCell="H3" sqref="H3"/>
    </sheetView>
  </sheetViews>
  <sheetFormatPr baseColWidth="10" defaultRowHeight="15" x14ac:dyDescent="0.2"/>
  <sheetData>
    <row r="1" spans="1:9" x14ac:dyDescent="0.2">
      <c r="A1" t="s">
        <v>36</v>
      </c>
      <c r="B1" t="s">
        <v>22</v>
      </c>
      <c r="C1" t="s">
        <v>23</v>
      </c>
      <c r="D1" t="s">
        <v>24</v>
      </c>
      <c r="E1" t="s">
        <v>25</v>
      </c>
      <c r="F1" s="1" t="s">
        <v>26</v>
      </c>
      <c r="G1" s="1" t="s">
        <v>27</v>
      </c>
      <c r="H1" s="1" t="s">
        <v>28</v>
      </c>
      <c r="I1" s="1" t="s">
        <v>29</v>
      </c>
    </row>
    <row r="2" spans="1:9" x14ac:dyDescent="0.2">
      <c r="A2" t="s">
        <v>37</v>
      </c>
      <c r="B2">
        <v>191.86054999999999</v>
      </c>
      <c r="C2">
        <v>44.22616</v>
      </c>
      <c r="D2">
        <v>9.3170999999999999</v>
      </c>
      <c r="E2">
        <v>0.73425000000000007</v>
      </c>
      <c r="F2">
        <v>5.3798805233016189</v>
      </c>
      <c r="G2">
        <v>3.2128952238129349</v>
      </c>
      <c r="H2">
        <v>5.6851385207399067E-2</v>
      </c>
      <c r="I2">
        <v>7.4246212024587947E-3</v>
      </c>
    </row>
    <row r="3" spans="1:9" x14ac:dyDescent="0.2">
      <c r="A3" t="s">
        <v>38</v>
      </c>
      <c r="B3">
        <v>248.73073333333332</v>
      </c>
      <c r="C3">
        <v>90.781864666666664</v>
      </c>
      <c r="D3">
        <v>11.497999999999999</v>
      </c>
      <c r="E3">
        <v>0.64913333333333334</v>
      </c>
      <c r="F3">
        <v>12.075788000927027</v>
      </c>
      <c r="G3">
        <v>49.530655853749245</v>
      </c>
      <c r="H3">
        <v>0.29920175467399973</v>
      </c>
      <c r="I3">
        <v>1.715527129873887E-2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7F890-AEFD-7E44-92D3-3CE55F0F5857}">
  <dimension ref="A1:I3"/>
  <sheetViews>
    <sheetView workbookViewId="0">
      <selection activeCell="B3" sqref="B3"/>
    </sheetView>
  </sheetViews>
  <sheetFormatPr baseColWidth="10" defaultRowHeight="15" x14ac:dyDescent="0.2"/>
  <cols>
    <col min="1" max="1" width="36.83203125" customWidth="1"/>
  </cols>
  <sheetData>
    <row r="1" spans="1:9" x14ac:dyDescent="0.2">
      <c r="A1" t="s">
        <v>35</v>
      </c>
      <c r="B1" t="s">
        <v>22</v>
      </c>
      <c r="C1" t="s">
        <v>23</v>
      </c>
      <c r="D1" t="s">
        <v>24</v>
      </c>
      <c r="E1" t="s">
        <v>25</v>
      </c>
      <c r="F1" s="1" t="s">
        <v>26</v>
      </c>
      <c r="G1" s="1" t="s">
        <v>27</v>
      </c>
      <c r="H1" s="1" t="s">
        <v>28</v>
      </c>
      <c r="I1" s="1" t="s">
        <v>29</v>
      </c>
    </row>
    <row r="2" spans="1:9" x14ac:dyDescent="0.2">
      <c r="A2" t="s">
        <v>33</v>
      </c>
      <c r="B2">
        <v>191.86054999999999</v>
      </c>
      <c r="C2">
        <v>44.22616</v>
      </c>
      <c r="D2">
        <v>9.3170999999999999</v>
      </c>
      <c r="E2">
        <v>0.73425000000000007</v>
      </c>
      <c r="F2">
        <v>5.3798805233016189</v>
      </c>
      <c r="G2">
        <v>3.2128952238129349</v>
      </c>
      <c r="H2">
        <v>5.6851385207399067E-2</v>
      </c>
      <c r="I2">
        <v>7.4246212024587947E-3</v>
      </c>
    </row>
    <row r="3" spans="1:9" x14ac:dyDescent="0.2">
      <c r="A3" t="s">
        <v>34</v>
      </c>
      <c r="B3">
        <v>251.70046666666667</v>
      </c>
      <c r="C3">
        <v>91.72361033333334</v>
      </c>
      <c r="D3">
        <v>11.519399999999999</v>
      </c>
      <c r="E3">
        <v>0.64506666666666668</v>
      </c>
      <c r="F3">
        <v>3.7640085883713539</v>
      </c>
      <c r="G3">
        <v>34.707500172656012</v>
      </c>
      <c r="H3">
        <v>9.5305193982279671E-2</v>
      </c>
      <c r="I3">
        <v>5.442732157045136E-3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workbookViewId="0">
      <selection activeCell="I13" sqref="A1:I13"/>
    </sheetView>
  </sheetViews>
  <sheetFormatPr baseColWidth="10" defaultColWidth="8.83203125" defaultRowHeight="15" x14ac:dyDescent="0.2"/>
  <sheetData>
    <row r="1" spans="1:9" x14ac:dyDescent="0.2">
      <c r="A1" t="s">
        <v>0</v>
      </c>
      <c r="B1" t="s">
        <v>22</v>
      </c>
      <c r="C1" t="s">
        <v>23</v>
      </c>
      <c r="D1" t="s">
        <v>24</v>
      </c>
      <c r="E1" t="s">
        <v>25</v>
      </c>
      <c r="F1" s="1" t="s">
        <v>26</v>
      </c>
      <c r="G1" s="1" t="s">
        <v>27</v>
      </c>
      <c r="H1" s="1" t="s">
        <v>28</v>
      </c>
      <c r="I1" s="1" t="s">
        <v>29</v>
      </c>
    </row>
    <row r="2" spans="1:9" x14ac:dyDescent="0.2">
      <c r="A2" t="s">
        <v>5</v>
      </c>
      <c r="B2">
        <v>336.66666666666669</v>
      </c>
      <c r="C2">
        <v>114.30333333333334</v>
      </c>
      <c r="D2">
        <v>13.823333333333332</v>
      </c>
      <c r="E2">
        <v>0.52469999999999994</v>
      </c>
      <c r="F2">
        <v>23.072349974229617</v>
      </c>
      <c r="G2">
        <v>19.156597645023787</v>
      </c>
      <c r="H2">
        <v>0.52785730394997254</v>
      </c>
      <c r="I2">
        <v>3.2057916339026153E-2</v>
      </c>
    </row>
    <row r="3" spans="1:9" x14ac:dyDescent="0.2">
      <c r="A3" t="s">
        <v>30</v>
      </c>
      <c r="B3">
        <v>345.33333333333331</v>
      </c>
      <c r="C3">
        <v>127.82333333333334</v>
      </c>
      <c r="D3">
        <v>14.100000000000001</v>
      </c>
      <c r="E3">
        <v>0.51246666666666674</v>
      </c>
      <c r="F3">
        <v>32.036437588054845</v>
      </c>
      <c r="G3">
        <v>8.7131758465747353</v>
      </c>
      <c r="H3">
        <v>0.91994565056855448</v>
      </c>
      <c r="I3">
        <v>4.5437576226437668E-2</v>
      </c>
    </row>
    <row r="4" spans="1:9" x14ac:dyDescent="0.2">
      <c r="A4" t="s">
        <v>31</v>
      </c>
      <c r="B4">
        <v>352</v>
      </c>
      <c r="C4">
        <v>141.785</v>
      </c>
      <c r="D4">
        <v>14.385</v>
      </c>
      <c r="E4">
        <v>0.50395000000000001</v>
      </c>
      <c r="F4">
        <v>16.970562748477139</v>
      </c>
      <c r="G4">
        <v>20.074761517886074</v>
      </c>
      <c r="H4">
        <v>0.17677669529663689</v>
      </c>
      <c r="I4">
        <v>2.3970919882223989E-2</v>
      </c>
    </row>
    <row r="5" spans="1:9" x14ac:dyDescent="0.2">
      <c r="A5" t="s">
        <v>11</v>
      </c>
      <c r="B5">
        <v>395.2876</v>
      </c>
      <c r="C5">
        <v>1359.4277500000001</v>
      </c>
      <c r="D5">
        <v>11.77948</v>
      </c>
      <c r="E5">
        <v>0.45361499999999999</v>
      </c>
      <c r="F5">
        <v>49.090746862519829</v>
      </c>
      <c r="G5">
        <v>371.32758019856885</v>
      </c>
      <c r="H5">
        <v>1.778345270412931</v>
      </c>
      <c r="I5">
        <v>6.8426723215422189E-2</v>
      </c>
    </row>
    <row r="6" spans="1:9" x14ac:dyDescent="0.2">
      <c r="A6" t="s">
        <v>10</v>
      </c>
      <c r="B6">
        <v>315.04126666666667</v>
      </c>
      <c r="C6">
        <v>138.35053333333335</v>
      </c>
      <c r="D6">
        <v>9.56</v>
      </c>
      <c r="E6">
        <v>0.5649333333333334</v>
      </c>
      <c r="F6">
        <v>2.1962981590242587</v>
      </c>
      <c r="G6">
        <v>74.275477045949216</v>
      </c>
      <c r="H6">
        <v>0.10045894683899459</v>
      </c>
      <c r="I6">
        <v>3.0022213997860439E-3</v>
      </c>
    </row>
    <row r="7" spans="1:9" x14ac:dyDescent="0.2">
      <c r="A7" t="s">
        <v>9</v>
      </c>
      <c r="B7">
        <v>336.75939999999997</v>
      </c>
      <c r="C7">
        <v>272.46899999999999</v>
      </c>
      <c r="D7">
        <v>9.813133333333333</v>
      </c>
      <c r="E7">
        <v>0.53483333333333338</v>
      </c>
      <c r="F7">
        <v>10.791633272123361</v>
      </c>
      <c r="G7">
        <v>375.80331725917483</v>
      </c>
      <c r="H7">
        <v>0.30851167454949469</v>
      </c>
      <c r="I7">
        <v>1.5053681720208306E-2</v>
      </c>
    </row>
    <row r="8" spans="1:9" x14ac:dyDescent="0.2">
      <c r="A8" t="s">
        <v>12</v>
      </c>
      <c r="B8">
        <v>349.24545000000001</v>
      </c>
      <c r="C8">
        <v>939.43000000000006</v>
      </c>
      <c r="D8">
        <v>10.747399999999999</v>
      </c>
      <c r="E8">
        <v>0.51764999999999994</v>
      </c>
      <c r="F8">
        <v>63.76752592350563</v>
      </c>
      <c r="G8">
        <v>54.679860282374577</v>
      </c>
      <c r="H8">
        <v>1.9200777536339617</v>
      </c>
      <c r="I8">
        <v>8.8034794257725466E-2</v>
      </c>
    </row>
    <row r="9" spans="1:9" x14ac:dyDescent="0.2">
      <c r="A9" t="s">
        <v>13</v>
      </c>
      <c r="B9">
        <v>285.36374999999998</v>
      </c>
      <c r="C9">
        <v>57.460349999999998</v>
      </c>
      <c r="D9">
        <v>12.832000000000001</v>
      </c>
      <c r="E9">
        <v>0.59735000000000005</v>
      </c>
      <c r="F9">
        <v>10.260472948407424</v>
      </c>
      <c r="G9">
        <v>0.62359747032841739</v>
      </c>
      <c r="H9">
        <v>0.32484485527710028</v>
      </c>
      <c r="I9">
        <v>1.4495689014324277E-2</v>
      </c>
    </row>
    <row r="10" spans="1:9" x14ac:dyDescent="0.2">
      <c r="A10" t="s">
        <v>14</v>
      </c>
      <c r="B10">
        <v>319.55644999999998</v>
      </c>
      <c r="C10">
        <v>92.803449999999998</v>
      </c>
      <c r="D10">
        <v>13.6358</v>
      </c>
      <c r="E10">
        <v>0.54910000000000003</v>
      </c>
      <c r="F10">
        <v>24.266136963369341</v>
      </c>
      <c r="G10">
        <v>4.3533028983749755</v>
      </c>
      <c r="H10">
        <v>0.46386204845837559</v>
      </c>
      <c r="I10">
        <v>3.4223968209428898E-2</v>
      </c>
    </row>
    <row r="11" spans="1:9" x14ac:dyDescent="0.2">
      <c r="A11" t="s">
        <v>15</v>
      </c>
      <c r="B11">
        <v>305.90610000000004</v>
      </c>
      <c r="C11">
        <v>61.923400000000001</v>
      </c>
      <c r="D11">
        <v>13.084199999999999</v>
      </c>
      <c r="E11">
        <v>0.56835000000000002</v>
      </c>
      <c r="F11">
        <v>3.0921779541287657</v>
      </c>
      <c r="G11">
        <v>6.90122076302446</v>
      </c>
      <c r="H11">
        <v>3.8042344827836777E-2</v>
      </c>
      <c r="I11">
        <v>4.3133513652379362E-3</v>
      </c>
    </row>
    <row r="12" spans="1:9" x14ac:dyDescent="0.2">
      <c r="A12" t="s">
        <v>16</v>
      </c>
      <c r="B12">
        <v>309.56496666666663</v>
      </c>
      <c r="C12">
        <v>58.479623333333336</v>
      </c>
      <c r="D12">
        <v>13.475</v>
      </c>
      <c r="E12">
        <v>0.56316666666666659</v>
      </c>
      <c r="F12">
        <v>11.359418555689064</v>
      </c>
      <c r="G12">
        <v>21.801174433127052</v>
      </c>
      <c r="H12">
        <v>0.26261745943482112</v>
      </c>
      <c r="I12">
        <v>1.6045040770697138E-2</v>
      </c>
    </row>
    <row r="13" spans="1:9" x14ac:dyDescent="0.2">
      <c r="A13" t="s">
        <v>17</v>
      </c>
      <c r="B13">
        <v>191.86054999999999</v>
      </c>
      <c r="C13">
        <v>44.22616</v>
      </c>
      <c r="D13">
        <v>9.3170999999999999</v>
      </c>
      <c r="E13">
        <v>0.73425000000000007</v>
      </c>
      <c r="F13">
        <v>5.3798805233016189</v>
      </c>
      <c r="G13">
        <v>3.2128952238129349</v>
      </c>
      <c r="H13">
        <v>5.6851385207399067E-2</v>
      </c>
      <c r="I13">
        <v>7.4246212024587947E-3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88C70-DFB7-964D-AE6E-22B0B5B0F37E}">
  <dimension ref="A1:K13"/>
  <sheetViews>
    <sheetView tabSelected="1" workbookViewId="0">
      <selection activeCell="K8" sqref="K8"/>
    </sheetView>
  </sheetViews>
  <sheetFormatPr baseColWidth="10" defaultRowHeight="15" x14ac:dyDescent="0.2"/>
  <sheetData>
    <row r="1" spans="1:11" x14ac:dyDescent="0.2">
      <c r="A1" t="s">
        <v>0</v>
      </c>
      <c r="B1" t="s">
        <v>22</v>
      </c>
      <c r="C1" t="s">
        <v>23</v>
      </c>
      <c r="D1" t="s">
        <v>24</v>
      </c>
      <c r="E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K1" s="1" t="s">
        <v>39</v>
      </c>
    </row>
    <row r="2" spans="1:11" x14ac:dyDescent="0.2">
      <c r="A2" t="s">
        <v>5</v>
      </c>
      <c r="B2">
        <v>336.66666666666669</v>
      </c>
      <c r="C2">
        <v>114.30333333333334</v>
      </c>
      <c r="D2">
        <v>13.823333333333332</v>
      </c>
      <c r="E2">
        <v>0.52469999999999994</v>
      </c>
      <c r="F2">
        <v>23.072349974229617</v>
      </c>
      <c r="G2">
        <v>19.156597645023787</v>
      </c>
      <c r="H2">
        <v>0.52785730394997254</v>
      </c>
      <c r="I2">
        <v>3.2057916339026153E-2</v>
      </c>
      <c r="K2">
        <f>(B2+C2+D2)/3</f>
        <v>154.93111111111111</v>
      </c>
    </row>
    <row r="3" spans="1:11" x14ac:dyDescent="0.2">
      <c r="A3" t="s">
        <v>30</v>
      </c>
      <c r="B3">
        <v>345.33333333333331</v>
      </c>
      <c r="C3">
        <v>127.82333333333334</v>
      </c>
      <c r="D3">
        <v>14.100000000000001</v>
      </c>
      <c r="E3">
        <v>0.51246666666666674</v>
      </c>
      <c r="F3">
        <v>32.036437588054845</v>
      </c>
      <c r="G3">
        <v>8.7131758465747353</v>
      </c>
      <c r="H3">
        <v>0.91994565056855448</v>
      </c>
      <c r="I3">
        <v>4.5437576226437668E-2</v>
      </c>
      <c r="K3">
        <f t="shared" ref="K3:K13" si="0">(B3+C3+D3)/3</f>
        <v>162.41888888888889</v>
      </c>
    </row>
    <row r="4" spans="1:11" x14ac:dyDescent="0.2">
      <c r="A4" t="s">
        <v>31</v>
      </c>
      <c r="B4">
        <v>352</v>
      </c>
      <c r="C4">
        <v>141.785</v>
      </c>
      <c r="D4">
        <v>14.385</v>
      </c>
      <c r="E4">
        <v>0.50395000000000001</v>
      </c>
      <c r="F4">
        <v>16.970562748477139</v>
      </c>
      <c r="G4">
        <v>20.074761517886074</v>
      </c>
      <c r="H4">
        <v>0.17677669529663689</v>
      </c>
      <c r="I4">
        <v>2.3970919882223989E-2</v>
      </c>
      <c r="K4">
        <f t="shared" si="0"/>
        <v>169.39</v>
      </c>
    </row>
    <row r="5" spans="1:11" x14ac:dyDescent="0.2">
      <c r="A5" t="s">
        <v>11</v>
      </c>
      <c r="B5">
        <v>395.2876</v>
      </c>
      <c r="C5">
        <v>1359.4277500000001</v>
      </c>
      <c r="D5">
        <v>11.77948</v>
      </c>
      <c r="E5">
        <v>0.45361499999999999</v>
      </c>
      <c r="F5">
        <v>49.090746862519829</v>
      </c>
      <c r="G5">
        <v>371.32758019856885</v>
      </c>
      <c r="H5">
        <v>1.778345270412931</v>
      </c>
      <c r="I5">
        <v>6.8426723215422189E-2</v>
      </c>
      <c r="K5">
        <f t="shared" si="0"/>
        <v>588.83160999999996</v>
      </c>
    </row>
    <row r="6" spans="1:11" x14ac:dyDescent="0.2">
      <c r="A6" t="s">
        <v>10</v>
      </c>
      <c r="B6">
        <v>315.04126666666667</v>
      </c>
      <c r="C6">
        <v>138.35053333333335</v>
      </c>
      <c r="D6">
        <v>9.56</v>
      </c>
      <c r="E6">
        <v>0.5649333333333334</v>
      </c>
      <c r="F6">
        <v>2.1962981590242587</v>
      </c>
      <c r="G6">
        <v>74.275477045949216</v>
      </c>
      <c r="H6">
        <v>0.10045894683899459</v>
      </c>
      <c r="I6">
        <v>3.0022213997860439E-3</v>
      </c>
      <c r="K6">
        <f t="shared" si="0"/>
        <v>154.31726666666665</v>
      </c>
    </row>
    <row r="7" spans="1:11" x14ac:dyDescent="0.2">
      <c r="A7" t="s">
        <v>9</v>
      </c>
      <c r="B7">
        <v>336.75939999999997</v>
      </c>
      <c r="C7">
        <v>272.46899999999999</v>
      </c>
      <c r="D7">
        <v>9.813133333333333</v>
      </c>
      <c r="E7">
        <v>0.53483333333333338</v>
      </c>
      <c r="F7">
        <v>10.791633272123361</v>
      </c>
      <c r="G7">
        <v>375.80331725917483</v>
      </c>
      <c r="H7">
        <v>0.30851167454949469</v>
      </c>
      <c r="I7">
        <v>1.5053681720208306E-2</v>
      </c>
      <c r="K7">
        <f t="shared" si="0"/>
        <v>206.34717777777777</v>
      </c>
    </row>
    <row r="8" spans="1:11" x14ac:dyDescent="0.2">
      <c r="A8" t="s">
        <v>12</v>
      </c>
      <c r="B8">
        <v>349.24545000000001</v>
      </c>
      <c r="C8">
        <v>939.43000000000006</v>
      </c>
      <c r="D8">
        <v>10.747399999999999</v>
      </c>
      <c r="E8">
        <v>0.51764999999999994</v>
      </c>
      <c r="F8">
        <v>63.76752592350563</v>
      </c>
      <c r="G8">
        <v>54.679860282374577</v>
      </c>
      <c r="H8">
        <v>1.9200777536339617</v>
      </c>
      <c r="I8">
        <v>8.8034794257725466E-2</v>
      </c>
      <c r="K8">
        <f t="shared" si="0"/>
        <v>433.14095000000003</v>
      </c>
    </row>
    <row r="9" spans="1:11" x14ac:dyDescent="0.2">
      <c r="A9" t="s">
        <v>13</v>
      </c>
      <c r="B9">
        <v>285.36374999999998</v>
      </c>
      <c r="C9">
        <v>57.460349999999998</v>
      </c>
      <c r="D9">
        <v>12.832000000000001</v>
      </c>
      <c r="E9">
        <v>0.59735000000000005</v>
      </c>
      <c r="F9">
        <v>10.260472948407424</v>
      </c>
      <c r="G9">
        <v>0.62359747032841739</v>
      </c>
      <c r="H9">
        <v>0.32484485527710028</v>
      </c>
      <c r="I9">
        <v>1.4495689014324277E-2</v>
      </c>
      <c r="K9">
        <f t="shared" si="0"/>
        <v>118.55203333333333</v>
      </c>
    </row>
    <row r="10" spans="1:11" x14ac:dyDescent="0.2">
      <c r="A10" t="s">
        <v>14</v>
      </c>
      <c r="B10">
        <v>319.55644999999998</v>
      </c>
      <c r="C10">
        <v>92.803449999999998</v>
      </c>
      <c r="D10">
        <v>13.6358</v>
      </c>
      <c r="E10">
        <v>0.54910000000000003</v>
      </c>
      <c r="F10">
        <v>24.266136963369341</v>
      </c>
      <c r="G10">
        <v>4.3533028983749755</v>
      </c>
      <c r="H10">
        <v>0.46386204845837559</v>
      </c>
      <c r="I10">
        <v>3.4223968209428898E-2</v>
      </c>
      <c r="K10">
        <f t="shared" si="0"/>
        <v>141.99856666666668</v>
      </c>
    </row>
    <row r="11" spans="1:11" x14ac:dyDescent="0.2">
      <c r="A11" t="s">
        <v>15</v>
      </c>
      <c r="B11">
        <v>305.90610000000004</v>
      </c>
      <c r="C11">
        <v>61.923400000000001</v>
      </c>
      <c r="D11">
        <v>13.084199999999999</v>
      </c>
      <c r="E11">
        <v>0.56835000000000002</v>
      </c>
      <c r="F11">
        <v>3.0921779541287657</v>
      </c>
      <c r="G11">
        <v>6.90122076302446</v>
      </c>
      <c r="H11">
        <v>3.8042344827836777E-2</v>
      </c>
      <c r="I11">
        <v>4.3133513652379362E-3</v>
      </c>
      <c r="K11">
        <f t="shared" si="0"/>
        <v>126.97123333333336</v>
      </c>
    </row>
    <row r="12" spans="1:11" x14ac:dyDescent="0.2">
      <c r="A12" t="s">
        <v>16</v>
      </c>
      <c r="B12">
        <v>309.56496666666663</v>
      </c>
      <c r="C12">
        <v>58.479623333333336</v>
      </c>
      <c r="D12">
        <v>13.475</v>
      </c>
      <c r="E12">
        <v>0.56316666666666659</v>
      </c>
      <c r="F12">
        <v>11.359418555689064</v>
      </c>
      <c r="G12">
        <v>21.801174433127052</v>
      </c>
      <c r="H12">
        <v>0.26261745943482112</v>
      </c>
      <c r="I12">
        <v>1.6045040770697138E-2</v>
      </c>
      <c r="K12">
        <f t="shared" si="0"/>
        <v>127.17319666666667</v>
      </c>
    </row>
    <row r="13" spans="1:11" x14ac:dyDescent="0.2">
      <c r="A13" t="s">
        <v>17</v>
      </c>
      <c r="B13">
        <v>191.86054999999999</v>
      </c>
      <c r="C13">
        <v>44.22616</v>
      </c>
      <c r="D13">
        <v>9.3170999999999999</v>
      </c>
      <c r="E13">
        <v>0.73425000000000007</v>
      </c>
      <c r="F13">
        <v>5.3798805233016189</v>
      </c>
      <c r="G13">
        <v>3.2128952238129349</v>
      </c>
      <c r="H13">
        <v>5.6851385207399067E-2</v>
      </c>
      <c r="I13">
        <v>7.4246212024587947E-3</v>
      </c>
      <c r="K13">
        <f t="shared" si="0"/>
        <v>81.801270000000002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Sheet4</vt:lpstr>
      <vt:lpstr>Sheet6</vt:lpstr>
      <vt:lpstr>Sheet5</vt:lpstr>
      <vt:lpstr>Sheet3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2024-07-24T22:53:03Z</dcterms:modified>
</cp:coreProperties>
</file>